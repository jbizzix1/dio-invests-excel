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izz\Downloads\"/>
    </mc:Choice>
  </mc:AlternateContent>
  <xr:revisionPtr revIDLastSave="0" documentId="13_ncr:1_{0AA98FAD-3A88-4328-BA69-3A3EAE472D04}" xr6:coauthVersionLast="47" xr6:coauthVersionMax="47" xr10:uidLastSave="{00000000-0000-0000-0000-000000000000}"/>
  <bookViews>
    <workbookView xWindow="-120" yWindow="-120" windowWidth="20730" windowHeight="11040" xr2:uid="{32D2C010-DF93-4FD9-A8E3-DD9CE4D92A4E}"/>
  </bookViews>
  <sheets>
    <sheet name="SIMULAÇÃO DE INVESTIMENTOS" sheetId="1" r:id="rId1"/>
    <sheet name="PLANILHA DE CONTROLE" sheetId="2" r:id="rId2"/>
  </sheets>
  <definedNames>
    <definedName name="aporte">'SIMULAÇÃO DE INVESTIMENTOS'!$D$17</definedName>
    <definedName name="patrimonio">'SIMULAÇÃO DE INVESTIMENTOS'!$D$20</definedName>
    <definedName name="qntd_anos">'SIMULAÇÃO DE INVESTIMENTOS'!$D$18</definedName>
    <definedName name="rendimento_carteira">'SIMULAÇÃO DE INVESTIMENTOS'!$D$13</definedName>
    <definedName name="salario">'SIMULAÇÃO DE INVESTIMENTOS'!$D$12</definedName>
    <definedName name="sugestao_investimento">'SIMULAÇÃO DE INVESTIMENTOS'!$D$14</definedName>
    <definedName name="taxa_mensal">'SIMULAÇÃO DE INVESTIMENTOS'!$D$19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H5" i="2"/>
  <c r="A11" i="2"/>
  <c r="A12" i="2"/>
  <c r="A13" i="2"/>
  <c r="A14" i="2"/>
  <c r="A15" i="2"/>
  <c r="A16" i="2"/>
  <c r="A17" i="2"/>
  <c r="A18" i="2"/>
  <c r="A19" i="2"/>
  <c r="A20" i="2"/>
  <c r="A21" i="2"/>
  <c r="A10" i="2"/>
  <c r="A5" i="2"/>
  <c r="A6" i="2"/>
  <c r="A7" i="2"/>
  <c r="A8" i="2"/>
  <c r="A9" i="2"/>
  <c r="A4" i="2"/>
  <c r="C31" i="1"/>
  <c r="C24" i="1"/>
  <c r="D24" i="1" s="1"/>
  <c r="D14" i="1"/>
  <c r="D20" i="1"/>
  <c r="D21" i="1" s="1"/>
  <c r="C25" i="1"/>
  <c r="D25" i="1" s="1"/>
  <c r="C26" i="1"/>
  <c r="D26" i="1" s="1"/>
  <c r="C27" i="1"/>
  <c r="D27" i="1" s="1"/>
  <c r="C28" i="1"/>
  <c r="D28" i="1" s="1"/>
  <c r="D37" i="1" l="1"/>
  <c r="D38" i="1"/>
  <c r="D36" i="1"/>
  <c r="D41" i="1"/>
  <c r="D40" i="1"/>
  <c r="D39" i="1"/>
  <c r="D42" i="1" l="1"/>
</calcChain>
</file>

<file path=xl/sharedStrings.xml><?xml version="1.0" encoding="utf-8"?>
<sst xmlns="http://schemas.openxmlformats.org/spreadsheetml/2006/main" count="71" uniqueCount="35">
  <si>
    <t>Quanto Investir por Mês?</t>
  </si>
  <si>
    <t>Por Quantos Anos?</t>
  </si>
  <si>
    <t>Taxa de Rendimento mensal?</t>
  </si>
  <si>
    <t>Patrimônio acumulado?</t>
  </si>
  <si>
    <t>Dividêndos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</si>
  <si>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</si>
  <si>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</si>
  <si>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</si>
  <si>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</si>
  <si>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</si>
  <si>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</si>
  <si>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</si>
  <si>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CONFIGURAÇÕES</t>
  </si>
  <si>
    <t>Rendimento Carteira</t>
  </si>
  <si>
    <t>Salário</t>
  </si>
  <si>
    <t>DIVIDENDO</t>
  </si>
  <si>
    <t>AGRESSIVO</t>
  </si>
  <si>
    <t>CONSERVADOR</t>
  </si>
  <si>
    <t>VALOR A SER INVESTIDO POR MÊS</t>
  </si>
  <si>
    <t>PERFIL</t>
  </si>
  <si>
    <t>TIPOS DE FII</t>
  </si>
  <si>
    <t>VALORES</t>
  </si>
  <si>
    <t>PERCENTUAL SUGERIDO</t>
  </si>
  <si>
    <t>PAPEL</t>
  </si>
  <si>
    <t>TIJOLO</t>
  </si>
  <si>
    <t>HÍBRIDOS</t>
  </si>
  <si>
    <t>FOFs</t>
  </si>
  <si>
    <t>DESENVOLVIMENTO</t>
  </si>
  <si>
    <t>HOTELARIAS</t>
  </si>
  <si>
    <t>TIPO DE FII</t>
  </si>
  <si>
    <t>%</t>
  </si>
  <si>
    <t>CHAVE COMPOSTA</t>
  </si>
  <si>
    <t>MODERADO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</si>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</sst>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6" formatCode="&quot;R$&quot;\ #,##0.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EB9C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medium">
        <color theme="0" tint="-0.1499679555650502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theme="0" tint="-0.1499679555650502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medium">
        <color theme="0" tint="-0.14996795556505021"/>
      </top>
      <bottom style="thin">
        <color theme="0" tint="-4.9989318521683403E-2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6" fontId="0" fillId="0" borderId="9" xfId="1" applyNumberFormat="1" applyFon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166" fontId="0" fillId="3" borderId="15" xfId="0" applyNumberFormat="1" applyFill="1" applyBorder="1" applyAlignment="1">
      <alignment horizontal="center"/>
    </xf>
    <xf numFmtId="164" fontId="4" fillId="0" borderId="16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0" fontId="4" fillId="0" borderId="12" xfId="0" applyNumberFormat="1" applyFont="1" applyBorder="1" applyAlignment="1">
      <alignment horizontal="center"/>
    </xf>
    <xf numFmtId="8" fontId="4" fillId="3" borderId="12" xfId="0" applyNumberFormat="1" applyFont="1" applyFill="1" applyBorder="1" applyAlignment="1">
      <alignment horizontal="center"/>
    </xf>
    <xf numFmtId="8" fontId="4" fillId="3" borderId="15" xfId="0" applyNumberFormat="1" applyFont="1" applyFill="1" applyBorder="1" applyAlignment="1">
      <alignment horizontal="center"/>
    </xf>
    <xf numFmtId="164" fontId="0" fillId="3" borderId="18" xfId="0" applyNumberFormat="1" applyFill="1" applyBorder="1" applyAlignment="1">
      <alignment horizontal="center"/>
    </xf>
    <xf numFmtId="164" fontId="0" fillId="3" borderId="19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15" xfId="0" applyNumberFormat="1" applyFill="1" applyBorder="1" applyAlignment="1">
      <alignment horizontal="center"/>
    </xf>
    <xf numFmtId="0" fontId="9" fillId="0" borderId="7" xfId="0" applyFont="1" applyBorder="1" applyAlignment="1">
      <alignment horizontal="left" indent="3"/>
    </xf>
    <xf numFmtId="0" fontId="9" fillId="0" borderId="8" xfId="0" applyFont="1" applyBorder="1" applyAlignment="1">
      <alignment horizontal="left" indent="3"/>
    </xf>
    <xf numFmtId="0" fontId="9" fillId="0" borderId="10" xfId="0" applyFont="1" applyBorder="1" applyAlignment="1">
      <alignment horizontal="left" indent="3"/>
    </xf>
    <xf numFmtId="0" fontId="9" fillId="0" borderId="11" xfId="0" applyFont="1" applyBorder="1" applyAlignment="1">
      <alignment horizontal="left" indent="3"/>
    </xf>
    <xf numFmtId="0" fontId="9" fillId="3" borderId="13" xfId="0" applyFont="1" applyFill="1" applyBorder="1" applyAlignment="1">
      <alignment horizontal="left" indent="3"/>
    </xf>
    <xf numFmtId="0" fontId="9" fillId="3" borderId="14" xfId="0" applyFont="1" applyFill="1" applyBorder="1" applyAlignment="1">
      <alignment horizontal="left" indent="3"/>
    </xf>
    <xf numFmtId="0" fontId="10" fillId="3" borderId="10" xfId="0" applyFont="1" applyFill="1" applyBorder="1" applyAlignment="1">
      <alignment horizontal="left" indent="3"/>
    </xf>
    <xf numFmtId="0" fontId="10" fillId="3" borderId="11" xfId="0" applyFont="1" applyFill="1" applyBorder="1" applyAlignment="1">
      <alignment horizontal="left" indent="3"/>
    </xf>
    <xf numFmtId="0" fontId="10" fillId="3" borderId="13" xfId="0" applyFont="1" applyFill="1" applyBorder="1" applyAlignment="1">
      <alignment horizontal="left" indent="3"/>
    </xf>
    <xf numFmtId="0" fontId="10" fillId="3" borderId="14" xfId="0" applyFont="1" applyFill="1" applyBorder="1" applyAlignment="1">
      <alignment horizontal="left" indent="3"/>
    </xf>
    <xf numFmtId="0" fontId="9" fillId="3" borderId="17" xfId="0" applyFont="1" applyFill="1" applyBorder="1" applyAlignment="1">
      <alignment horizontal="left" indent="3"/>
    </xf>
    <xf numFmtId="0" fontId="9" fillId="3" borderId="10" xfId="0" applyFont="1" applyFill="1" applyBorder="1" applyAlignment="1">
      <alignment horizontal="left" indent="3"/>
    </xf>
    <xf numFmtId="0" fontId="9" fillId="3" borderId="13" xfId="0" applyFont="1" applyFill="1" applyBorder="1" applyAlignment="1">
      <alignment horizontal="left" indent="3"/>
    </xf>
    <xf numFmtId="0" fontId="2" fillId="6" borderId="0" xfId="3" applyFont="1" applyFill="1"/>
    <xf numFmtId="0" fontId="7" fillId="6" borderId="0" xfId="3" applyFont="1" applyFill="1"/>
    <xf numFmtId="0" fontId="0" fillId="3" borderId="0" xfId="0" applyFill="1"/>
    <xf numFmtId="0" fontId="7" fillId="6" borderId="0" xfId="3" applyFont="1" applyFill="1" applyAlignment="1">
      <alignment horizontal="center"/>
    </xf>
    <xf numFmtId="164" fontId="0" fillId="3" borderId="0" xfId="1" applyNumberFormat="1" applyFont="1" applyFill="1" applyAlignment="1">
      <alignment horizontal="center"/>
    </xf>
    <xf numFmtId="0" fontId="9" fillId="3" borderId="0" xfId="0" applyFont="1" applyFill="1" applyBorder="1" applyAlignment="1"/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8" fillId="7" borderId="0" xfId="0" applyFont="1" applyFill="1" applyAlignment="1">
      <alignment horizontal="center"/>
    </xf>
    <xf numFmtId="0" fontId="0" fillId="7" borderId="0" xfId="0" applyFill="1"/>
    <xf numFmtId="164" fontId="8" fillId="7" borderId="0" xfId="0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0" fontId="8" fillId="8" borderId="0" xfId="0" applyFont="1" applyFill="1" applyAlignment="1">
      <alignment horizontal="center"/>
    </xf>
    <xf numFmtId="0" fontId="0" fillId="8" borderId="0" xfId="0" applyFill="1"/>
    <xf numFmtId="0" fontId="0" fillId="0" borderId="20" xfId="0" applyBorder="1"/>
    <xf numFmtId="0" fontId="0" fillId="0" borderId="20" xfId="0" applyBorder="1" applyAlignment="1">
      <alignment horizontal="center"/>
    </xf>
    <xf numFmtId="9" fontId="0" fillId="0" borderId="20" xfId="0" applyNumberFormat="1" applyBorder="1" applyAlignment="1">
      <alignment horizontal="center"/>
    </xf>
    <xf numFmtId="9" fontId="6" fillId="5" borderId="0" xfId="2" applyFont="1" applyFill="1"/>
    <xf numFmtId="0" fontId="11" fillId="5" borderId="0" xfId="3" applyFont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SUGESTÃO DE PERCENTUAL</a:t>
            </a:r>
            <a:r>
              <a:rPr lang="pt-BR" sz="1400" baseline="0"/>
              <a:t> PARA INVESTIMENTO</a:t>
            </a:r>
            <a:endParaRPr lang="pt-BR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'SIMULAÇÃO DE INVESTIMENTOS'!$C$36:$C$41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B-4F76-A177-79380A0DEF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CENÁRIO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'SIMULAÇÃO DE INVESTIMENTOS'!$C$24:$C$28</c:f>
              <c:numCache>
                <c:formatCode>"R$"\ #,##0.00</c:formatCode>
                <c:ptCount val="5"/>
                <c:pt idx="0">
                  <c:v>5445.5254595290435</c:v>
                </c:pt>
                <c:pt idx="1">
                  <c:v>16755.382799697527</c:v>
                </c:pt>
                <c:pt idx="2">
                  <c:v>48656.842506034438</c:v>
                </c:pt>
                <c:pt idx="3">
                  <c:v>225039.68001941612</c:v>
                </c:pt>
                <c:pt idx="4">
                  <c:v>864433.93100094295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4A-4969-957F-E7035D738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681584"/>
        <c:axId val="1453683024"/>
      </c:scatterChart>
      <c:valAx>
        <c:axId val="145368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3683024"/>
        <c:crosses val="autoZero"/>
        <c:crossBetween val="midCat"/>
      </c:valAx>
      <c:valAx>
        <c:axId val="145368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368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11206</xdr:colOff>
      <xdr:row>42</xdr:row>
      <xdr:rowOff>179294</xdr:rowOff>
    </xdr:from>
    <xdr:to>
      <xdr:col>2</xdr:col>
      <xdr:colOff>4303059</xdr:colOff>
      <xdr:row>55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647677-281C-5C1D-88D1-52D2AE859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42</xdr:row>
      <xdr:rowOff>156883</xdr:rowOff>
    </xdr:from>
    <xdr:to>
      <xdr:col>1</xdr:col>
      <xdr:colOff>3574676</xdr:colOff>
      <xdr:row>55</xdr:row>
      <xdr:rowOff>11206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990E5E-0B22-ACE2-386B-0CE14CF1D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100850</xdr:colOff>
      <xdr:row>1</xdr:row>
      <xdr:rowOff>0</xdr:rowOff>
    </xdr:from>
    <xdr:to>
      <xdr:col>3</xdr:col>
      <xdr:colOff>1030940</xdr:colOff>
      <xdr:row>8</xdr:row>
      <xdr:rowOff>145677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33B5DD2-7BE0-869C-7D8C-63DFDFBC14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23207" r="9746" b="28692"/>
        <a:stretch/>
      </xdr:blipFill>
      <xdr:spPr>
        <a:xfrm>
          <a:off x="705968" y="190500"/>
          <a:ext cx="8830237" cy="1479177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chemeClr val="bg1">
              <a:lumMod val="95000"/>
            </a:schemeClr>
          </a:solidFill>
        </a:ln>
        <a:effectLst>
          <a:outerShdw blurRad="50000" algn="tl" rotWithShape="0">
            <a:srgbClr val="000000">
              <a:alpha val="41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0DB8-B1D9-4C76-8C4C-A6A2E5503CE5}">
  <dimension ref="A10:F42"/>
  <sheetViews>
    <sheetView showGridLines="0" tabSelected="1" zoomScale="70" zoomScaleNormal="70" workbookViewId="0">
      <selection activeCell="E8" sqref="E8"/>
    </sheetView>
  </sheetViews>
  <sheetFormatPr defaultColWidth="0" defaultRowHeight="15" x14ac:dyDescent="0.25"/>
  <cols>
    <col min="1" max="1" width="9.140625" customWidth="1"/>
    <col min="2" max="2" width="53.7109375" customWidth="1"/>
    <col min="3" max="3" width="64.7109375" customWidth="1"/>
    <col min="4" max="4" width="16.28515625" bestFit="1" customWidth="1"/>
    <col min="5" max="9" width="4.5703125" customWidth="1"/>
    <col min="10" max="11" width="9.140625" hidden="1" customWidth="1"/>
    <col min="12" max="16384" width="9.140625" hidden="1"/>
  </cols>
  <sheetData>
    <row r="10" spans="2:4" ht="15.75" thickBot="1" x14ac:dyDescent="0.3"/>
    <row r="11" spans="2:4" ht="24" x14ac:dyDescent="0.25">
      <c r="B11" s="7" t="s">
        <v>12</v>
      </c>
      <c r="C11" s="8"/>
      <c r="D11" s="9"/>
    </row>
    <row r="12" spans="2:4" ht="15.75" x14ac:dyDescent="0.25">
      <c r="B12" s="26" t="s">
        <v>14</v>
      </c>
      <c r="C12" s="27"/>
      <c r="D12" s="12">
        <v>2000</v>
      </c>
    </row>
    <row r="13" spans="2:4" ht="15.75" x14ac:dyDescent="0.25">
      <c r="B13" s="28" t="s">
        <v>13</v>
      </c>
      <c r="C13" s="29"/>
      <c r="D13" s="13">
        <v>6.0000000000000001E-3</v>
      </c>
    </row>
    <row r="14" spans="2:4" ht="16.5" thickBot="1" x14ac:dyDescent="0.3">
      <c r="B14" s="30" t="s">
        <v>34</v>
      </c>
      <c r="C14" s="31"/>
      <c r="D14" s="14">
        <f>D12*30%</f>
        <v>600</v>
      </c>
    </row>
    <row r="15" spans="2:4" ht="15.75" thickBot="1" x14ac:dyDescent="0.3"/>
    <row r="16" spans="2:4" ht="47.25" customHeight="1" x14ac:dyDescent="0.25">
      <c r="B16" s="3" t="s">
        <v>5</v>
      </c>
      <c r="C16" s="10"/>
      <c r="D16" s="11"/>
    </row>
    <row r="17" spans="1:4" ht="17.25" customHeight="1" x14ac:dyDescent="0.3">
      <c r="B17" s="26" t="s">
        <v>0</v>
      </c>
      <c r="C17" s="27"/>
      <c r="D17" s="15">
        <v>200</v>
      </c>
    </row>
    <row r="18" spans="1:4" ht="17.25" customHeight="1" x14ac:dyDescent="0.3">
      <c r="B18" s="28" t="s">
        <v>1</v>
      </c>
      <c r="C18" s="29"/>
      <c r="D18" s="16">
        <v>5</v>
      </c>
    </row>
    <row r="19" spans="1:4" ht="17.25" customHeight="1" x14ac:dyDescent="0.3">
      <c r="B19" s="28" t="s">
        <v>2</v>
      </c>
      <c r="C19" s="29"/>
      <c r="D19" s="17">
        <v>1.0789999999999999E-2</v>
      </c>
    </row>
    <row r="20" spans="1:4" ht="17.25" customHeight="1" x14ac:dyDescent="0.3">
      <c r="B20" s="32" t="s">
        <v>3</v>
      </c>
      <c r="C20" s="33"/>
      <c r="D20" s="18">
        <f>FV(taxa_mensal,qntd_anos*12,aporte*-1)</f>
        <v>16755.382799697527</v>
      </c>
    </row>
    <row r="21" spans="1:4" ht="17.25" customHeight="1" thickBot="1" x14ac:dyDescent="0.35">
      <c r="B21" s="34" t="s">
        <v>4</v>
      </c>
      <c r="C21" s="35"/>
      <c r="D21" s="19">
        <f>patrimonio*rendimento_carteira</f>
        <v>100.53229679818516</v>
      </c>
    </row>
    <row r="22" spans="1:4" ht="15.75" thickBot="1" x14ac:dyDescent="0.3"/>
    <row r="23" spans="1:4" ht="39.75" customHeight="1" thickBot="1" x14ac:dyDescent="0.3">
      <c r="B23" s="5" t="s">
        <v>11</v>
      </c>
      <c r="C23" s="6"/>
      <c r="D23" s="4" t="s">
        <v>15</v>
      </c>
    </row>
    <row r="24" spans="1:4" ht="15.75" x14ac:dyDescent="0.25">
      <c r="A24" s="1">
        <v>2</v>
      </c>
      <c r="B24" s="36" t="s">
        <v>6</v>
      </c>
      <c r="C24" s="20">
        <f>FV($D$19,$A24*12,$D$17*-1)</f>
        <v>5445.5254595290435</v>
      </c>
      <c r="D24" s="21">
        <f>C24*rendimento_carteira</f>
        <v>32.673152757174265</v>
      </c>
    </row>
    <row r="25" spans="1:4" ht="15.75" x14ac:dyDescent="0.25">
      <c r="A25" s="1">
        <v>5</v>
      </c>
      <c r="B25" s="37" t="s">
        <v>7</v>
      </c>
      <c r="C25" s="22">
        <f>FV($D$19,$A25*12,$D$17*-1)</f>
        <v>16755.382799697527</v>
      </c>
      <c r="D25" s="23">
        <f>C25*rendimento_carteira</f>
        <v>100.53229679818516</v>
      </c>
    </row>
    <row r="26" spans="1:4" ht="15.75" x14ac:dyDescent="0.25">
      <c r="A26" s="1">
        <v>10</v>
      </c>
      <c r="B26" s="37" t="s">
        <v>8</v>
      </c>
      <c r="C26" s="22">
        <f>FV($D$19,$A26*12,$D$17*-1)</f>
        <v>48656.842506034438</v>
      </c>
      <c r="D26" s="23">
        <f>C26*rendimento_carteira</f>
        <v>291.94105503620665</v>
      </c>
    </row>
    <row r="27" spans="1:4" ht="15.75" x14ac:dyDescent="0.25">
      <c r="A27" s="1">
        <v>20</v>
      </c>
      <c r="B27" s="37" t="s">
        <v>9</v>
      </c>
      <c r="C27" s="22">
        <f>FV($D$19,$A27*12,$D$17*-1)</f>
        <v>225039.68001941612</v>
      </c>
      <c r="D27" s="23">
        <f>C27*rendimento_carteira</f>
        <v>1350.2380801164968</v>
      </c>
    </row>
    <row r="28" spans="1:4" ht="16.5" thickBot="1" x14ac:dyDescent="0.3">
      <c r="A28" s="1">
        <v>30</v>
      </c>
      <c r="B28" s="38" t="s">
        <v>10</v>
      </c>
      <c r="C28" s="24">
        <f>FV($D$19,$A28*12,$D$17*-1)</f>
        <v>864433.93100094295</v>
      </c>
      <c r="D28" s="25">
        <f>C28*rendimento_carteira</f>
        <v>5186.6035860056581</v>
      </c>
    </row>
    <row r="30" spans="1:4" x14ac:dyDescent="0.25">
      <c r="B30" s="40" t="s">
        <v>19</v>
      </c>
      <c r="C30" s="42" t="s">
        <v>17</v>
      </c>
      <c r="D30" s="39"/>
    </row>
    <row r="31" spans="1:4" ht="15.75" x14ac:dyDescent="0.25">
      <c r="B31" s="44" t="s">
        <v>18</v>
      </c>
      <c r="C31" s="43">
        <f>aporte</f>
        <v>200</v>
      </c>
      <c r="D31" s="41"/>
    </row>
    <row r="35" spans="2:4" x14ac:dyDescent="0.25">
      <c r="B35" s="49" t="s">
        <v>20</v>
      </c>
      <c r="C35" s="49" t="s">
        <v>22</v>
      </c>
      <c r="D35" s="49" t="s">
        <v>21</v>
      </c>
    </row>
    <row r="36" spans="2:4" x14ac:dyDescent="0.25">
      <c r="B36" s="2" t="s">
        <v>23</v>
      </c>
      <c r="C36" s="47">
        <f>VLOOKUP($C$30&amp;"-"&amp;B36,'PLANILHA DE CONTROLE'!$A:$D,4,FALSE)</f>
        <v>0.3</v>
      </c>
      <c r="D36" s="48">
        <f>C36*$C$31</f>
        <v>60</v>
      </c>
    </row>
    <row r="37" spans="2:4" x14ac:dyDescent="0.25">
      <c r="B37" s="2" t="s">
        <v>24</v>
      </c>
      <c r="C37" s="47">
        <f>VLOOKUP($C$30&amp;"-"&amp;B37,'PLANILHA DE CONTROLE'!$A:$D,4,FALSE)</f>
        <v>0.5</v>
      </c>
      <c r="D37" s="48">
        <f t="shared" ref="D37:D41" si="0">C37*$C$31</f>
        <v>100</v>
      </c>
    </row>
    <row r="38" spans="2:4" x14ac:dyDescent="0.25">
      <c r="B38" s="46" t="s">
        <v>25</v>
      </c>
      <c r="C38" s="47">
        <f>VLOOKUP($C$30&amp;"-"&amp;B38,'PLANILHA DE CONTROLE'!$A:$D,4,FALSE)</f>
        <v>0.1</v>
      </c>
      <c r="D38" s="48">
        <f t="shared" si="0"/>
        <v>20</v>
      </c>
    </row>
    <row r="39" spans="2:4" x14ac:dyDescent="0.25">
      <c r="B39" s="46" t="s">
        <v>26</v>
      </c>
      <c r="C39" s="47">
        <f>VLOOKUP($C$30&amp;"-"&amp;B39,'PLANILHA DE CONTROLE'!$A:$D,4,FALSE)</f>
        <v>0.1</v>
      </c>
      <c r="D39" s="48">
        <f t="shared" si="0"/>
        <v>20</v>
      </c>
    </row>
    <row r="40" spans="2:4" x14ac:dyDescent="0.25">
      <c r="B40" s="2" t="s">
        <v>27</v>
      </c>
      <c r="C40" s="47">
        <f>VLOOKUP($C$30&amp;"-"&amp;B40,'PLANILHA DE CONTROLE'!$A:$D,4,FALSE)</f>
        <v>0</v>
      </c>
      <c r="D40" s="48">
        <f t="shared" si="0"/>
        <v>0</v>
      </c>
    </row>
    <row r="41" spans="2:4" x14ac:dyDescent="0.25">
      <c r="B41" s="2" t="s">
        <v>28</v>
      </c>
      <c r="C41" s="47">
        <f>VLOOKUP($C$30&amp;"-"&amp;B41,'PLANILHA DE CONTROLE'!$A:$D,4,FALSE)</f>
        <v>0</v>
      </c>
      <c r="D41" s="48">
        <f t="shared" si="0"/>
        <v>0</v>
      </c>
    </row>
    <row r="42" spans="2:4" x14ac:dyDescent="0.25">
      <c r="B42" s="50"/>
      <c r="C42" s="50"/>
      <c r="D42" s="51">
        <f>SUM(D36:D41)</f>
        <v>200</v>
      </c>
    </row>
  </sheetData>
  <mergeCells count="11">
    <mergeCell ref="B17:C17"/>
    <mergeCell ref="B21:C21"/>
    <mergeCell ref="B20:C20"/>
    <mergeCell ref="B19:C19"/>
    <mergeCell ref="B18:C18"/>
    <mergeCell ref="B16:D16"/>
    <mergeCell ref="B23:C23"/>
    <mergeCell ref="B12:C12"/>
    <mergeCell ref="B13:C13"/>
    <mergeCell ref="B14:C14"/>
    <mergeCell ref="B11:D11"/>
  </mergeCells>
  <dataValidations count="1">
    <dataValidation type="list" allowBlank="1" showInputMessage="1" showErrorMessage="1" sqref="C30" xr:uid="{EB536035-D10A-4F97-833E-F4AC487A1AA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32EC-E4AB-425F-80B2-DA9E4158AC58}">
  <dimension ref="A3:H21"/>
  <sheetViews>
    <sheetView topLeftCell="A2" workbookViewId="0">
      <selection activeCell="F15" sqref="F15"/>
    </sheetView>
  </sheetViews>
  <sheetFormatPr defaultRowHeight="15" x14ac:dyDescent="0.25"/>
  <cols>
    <col min="1" max="1" width="33" bestFit="1" customWidth="1"/>
    <col min="2" max="2" width="14.42578125" bestFit="1" customWidth="1"/>
    <col min="3" max="3" width="18.5703125" bestFit="1" customWidth="1"/>
    <col min="7" max="8" width="18.28515625" bestFit="1" customWidth="1"/>
  </cols>
  <sheetData>
    <row r="3" spans="1:8" x14ac:dyDescent="0.25">
      <c r="A3" s="54" t="s">
        <v>31</v>
      </c>
      <c r="B3" s="52" t="s">
        <v>19</v>
      </c>
      <c r="C3" s="52" t="s">
        <v>29</v>
      </c>
      <c r="D3" s="53" t="s">
        <v>30</v>
      </c>
    </row>
    <row r="4" spans="1:8" x14ac:dyDescent="0.25">
      <c r="A4" t="str">
        <f>B4&amp;"-"&amp;C4</f>
        <v>CONSERVADOR-PAPEL</v>
      </c>
      <c r="B4" t="s">
        <v>17</v>
      </c>
      <c r="C4" s="2" t="s">
        <v>23</v>
      </c>
      <c r="D4" s="47">
        <v>0.3</v>
      </c>
      <c r="H4" s="45" t="s">
        <v>30</v>
      </c>
    </row>
    <row r="5" spans="1:8" x14ac:dyDescent="0.25">
      <c r="A5" t="str">
        <f t="shared" ref="A5:A21" si="0">B5&amp;"-"&amp;C5</f>
        <v>CONSERVADOR-TIJOLO</v>
      </c>
      <c r="B5" t="s">
        <v>17</v>
      </c>
      <c r="C5" s="2" t="s">
        <v>24</v>
      </c>
      <c r="D5" s="47">
        <v>0.5</v>
      </c>
      <c r="G5" s="59" t="s">
        <v>33</v>
      </c>
      <c r="H5" s="58">
        <f>VLOOKUP(G5,$A$2:$D$22,4,FALSE)</f>
        <v>0.35</v>
      </c>
    </row>
    <row r="6" spans="1:8" x14ac:dyDescent="0.25">
      <c r="A6" t="str">
        <f t="shared" si="0"/>
        <v>CONSERVADOR-HÍBRIDOS</v>
      </c>
      <c r="B6" t="s">
        <v>17</v>
      </c>
      <c r="C6" s="46" t="s">
        <v>25</v>
      </c>
      <c r="D6" s="47">
        <v>0.1</v>
      </c>
    </row>
    <row r="7" spans="1:8" x14ac:dyDescent="0.25">
      <c r="A7" t="str">
        <f t="shared" si="0"/>
        <v>CONSERVADOR-FOFs</v>
      </c>
      <c r="B7" t="s">
        <v>17</v>
      </c>
      <c r="C7" s="46" t="s">
        <v>26</v>
      </c>
      <c r="D7" s="47">
        <v>0.1</v>
      </c>
    </row>
    <row r="8" spans="1:8" x14ac:dyDescent="0.25">
      <c r="A8" t="str">
        <f t="shared" si="0"/>
        <v>CONSERVADOR-DESENVOLVIMENTO</v>
      </c>
      <c r="B8" t="s">
        <v>17</v>
      </c>
      <c r="C8" s="2" t="s">
        <v>27</v>
      </c>
      <c r="D8" s="47">
        <v>0</v>
      </c>
    </row>
    <row r="9" spans="1:8" ht="15.75" thickBot="1" x14ac:dyDescent="0.3">
      <c r="A9" s="55" t="str">
        <f t="shared" si="0"/>
        <v>CONSERVADOR-HOTELARIAS</v>
      </c>
      <c r="B9" s="55" t="s">
        <v>17</v>
      </c>
      <c r="C9" s="56" t="s">
        <v>28</v>
      </c>
      <c r="D9" s="57">
        <v>0</v>
      </c>
    </row>
    <row r="10" spans="1:8" x14ac:dyDescent="0.25">
      <c r="A10" t="str">
        <f t="shared" si="0"/>
        <v>MODERADO-PAPEL</v>
      </c>
      <c r="B10" t="s">
        <v>32</v>
      </c>
      <c r="C10" s="2" t="s">
        <v>23</v>
      </c>
      <c r="D10" s="47">
        <v>0.32</v>
      </c>
    </row>
    <row r="11" spans="1:8" x14ac:dyDescent="0.25">
      <c r="A11" t="str">
        <f t="shared" si="0"/>
        <v>MODERADO-TIJOLO</v>
      </c>
      <c r="B11" t="s">
        <v>32</v>
      </c>
      <c r="C11" s="2" t="s">
        <v>24</v>
      </c>
      <c r="D11" s="47">
        <v>0.35</v>
      </c>
    </row>
    <row r="12" spans="1:8" x14ac:dyDescent="0.25">
      <c r="A12" t="str">
        <f t="shared" si="0"/>
        <v>MODERADO-HÍBRIDOS</v>
      </c>
      <c r="B12" t="s">
        <v>32</v>
      </c>
      <c r="C12" s="46" t="s">
        <v>25</v>
      </c>
      <c r="D12" s="47">
        <v>0.08</v>
      </c>
    </row>
    <row r="13" spans="1:8" x14ac:dyDescent="0.25">
      <c r="A13" t="str">
        <f t="shared" si="0"/>
        <v>MODERADO-FOFs</v>
      </c>
      <c r="B13" t="s">
        <v>32</v>
      </c>
      <c r="C13" s="46" t="s">
        <v>26</v>
      </c>
      <c r="D13" s="47">
        <v>0.05</v>
      </c>
    </row>
    <row r="14" spans="1:8" x14ac:dyDescent="0.25">
      <c r="A14" t="str">
        <f t="shared" si="0"/>
        <v>MODERADO-DESENVOLVIMENTO</v>
      </c>
      <c r="B14" t="s">
        <v>32</v>
      </c>
      <c r="C14" s="2" t="s">
        <v>27</v>
      </c>
      <c r="D14" s="47">
        <v>0.1</v>
      </c>
    </row>
    <row r="15" spans="1:8" ht="15.75" thickBot="1" x14ac:dyDescent="0.3">
      <c r="A15" s="55" t="str">
        <f t="shared" si="0"/>
        <v>MODERADO-HOTELARIAS</v>
      </c>
      <c r="B15" s="55" t="s">
        <v>32</v>
      </c>
      <c r="C15" s="56" t="s">
        <v>28</v>
      </c>
      <c r="D15" s="57">
        <v>0.1</v>
      </c>
    </row>
    <row r="16" spans="1:8" x14ac:dyDescent="0.25">
      <c r="A16" t="str">
        <f t="shared" si="0"/>
        <v>AGRESSIVO-PAPEL</v>
      </c>
      <c r="B16" t="s">
        <v>16</v>
      </c>
      <c r="C16" s="2" t="s">
        <v>23</v>
      </c>
      <c r="D16" s="47">
        <v>0.5</v>
      </c>
    </row>
    <row r="17" spans="1:4" x14ac:dyDescent="0.25">
      <c r="A17" t="str">
        <f t="shared" si="0"/>
        <v>AGRESSIVO-TIJOLO</v>
      </c>
      <c r="B17" t="s">
        <v>16</v>
      </c>
      <c r="C17" s="2" t="s">
        <v>24</v>
      </c>
      <c r="D17" s="47">
        <v>0.1</v>
      </c>
    </row>
    <row r="18" spans="1:4" x14ac:dyDescent="0.25">
      <c r="A18" t="str">
        <f t="shared" si="0"/>
        <v>AGRESSIVO-HÍBRIDOS</v>
      </c>
      <c r="B18" t="s">
        <v>16</v>
      </c>
      <c r="C18" s="46" t="s">
        <v>25</v>
      </c>
      <c r="D18" s="47">
        <v>0.05</v>
      </c>
    </row>
    <row r="19" spans="1:4" x14ac:dyDescent="0.25">
      <c r="A19" t="str">
        <f t="shared" si="0"/>
        <v>AGRESSIVO-FOFs</v>
      </c>
      <c r="B19" t="s">
        <v>16</v>
      </c>
      <c r="C19" s="46" t="s">
        <v>26</v>
      </c>
      <c r="D19" s="47">
        <v>0.05</v>
      </c>
    </row>
    <row r="20" spans="1:4" x14ac:dyDescent="0.25">
      <c r="A20" t="str">
        <f t="shared" si="0"/>
        <v>AGRESSIVO-DESENVOLVIMENTO</v>
      </c>
      <c r="B20" t="s">
        <v>16</v>
      </c>
      <c r="C20" s="2" t="s">
        <v>27</v>
      </c>
      <c r="D20" s="47">
        <v>0.2</v>
      </c>
    </row>
    <row r="21" spans="1:4" x14ac:dyDescent="0.25">
      <c r="A21" t="str">
        <f t="shared" si="0"/>
        <v>AGRESSIVO-HOTELARIAS</v>
      </c>
      <c r="B21" t="s">
        <v>16</v>
      </c>
      <c r="C21" s="2" t="s">
        <v>28</v>
      </c>
      <c r="D21" s="4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SIMULAÇÃO DE INVESTIMENTOS</vt:lpstr>
      <vt:lpstr>PLANILHA DE CONTROLE</vt:lpstr>
      <vt:lpstr>aporte</vt:lpstr>
      <vt:lpstr>patrimonio</vt:lpstr>
      <vt:lpstr>qntd_anos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Bizzi</dc:creator>
  <cp:lastModifiedBy>Juliana Bizzi</cp:lastModifiedBy>
  <dcterms:created xsi:type="dcterms:W3CDTF">2026-04-08T00:46:14Z</dcterms:created>
  <dcterms:modified xsi:type="dcterms:W3CDTF">2026-04-08T15:55:59Z</dcterms:modified>
</cp:coreProperties>
</file>